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hanatrochez\Desktop\estadística\"/>
    </mc:Choice>
  </mc:AlternateContent>
  <xr:revisionPtr revIDLastSave="0" documentId="13_ncr:1_{9E6315C4-1B14-4207-B517-DBA23D936FC5}" xr6:coauthVersionLast="47" xr6:coauthVersionMax="47" xr10:uidLastSave="{00000000-0000-0000-0000-000000000000}"/>
  <bookViews>
    <workbookView xWindow="-120" yWindow="-120" windowWidth="29040" windowHeight="15720" activeTab="1" xr2:uid="{F440DA8B-91D6-4322-8F5F-DE84434F328A}"/>
  </bookViews>
  <sheets>
    <sheet name="eje1" sheetId="1" r:id="rId1"/>
    <sheet name="Hoja1" sheetId="3" r:id="rId2"/>
    <sheet name="eje 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0" i="3" l="1"/>
  <c r="G21" i="3"/>
  <c r="F21" i="3"/>
  <c r="F20" i="3"/>
  <c r="G19" i="3"/>
  <c r="F19" i="3"/>
  <c r="U50" i="3"/>
  <c r="V50" i="3" s="1"/>
  <c r="S18" i="3"/>
  <c r="S24" i="3"/>
  <c r="S11" i="3"/>
  <c r="S17" i="3" s="1"/>
  <c r="S10" i="3"/>
  <c r="S25" i="3"/>
  <c r="S23" i="3" l="1"/>
  <c r="S20" i="3" l="1"/>
  <c r="S27" i="3" s="1"/>
  <c r="S30" i="3" s="1"/>
  <c r="L24" i="2" l="1"/>
  <c r="L23" i="2"/>
  <c r="F34" i="2"/>
  <c r="C39" i="2"/>
  <c r="D39" i="2"/>
  <c r="E39" i="2"/>
  <c r="F39" i="2"/>
  <c r="G39" i="2"/>
  <c r="H39" i="2"/>
  <c r="I39" i="2"/>
  <c r="J39" i="2"/>
  <c r="K39" i="2"/>
  <c r="L39" i="2"/>
  <c r="M39" i="2"/>
  <c r="B39" i="2"/>
  <c r="F22" i="2"/>
  <c r="F23" i="2"/>
  <c r="F24" i="2"/>
  <c r="F25" i="2"/>
  <c r="F26" i="2"/>
  <c r="F27" i="2"/>
  <c r="F28" i="2"/>
  <c r="F29" i="2"/>
  <c r="F30" i="2"/>
  <c r="F31" i="2"/>
  <c r="F32" i="2"/>
  <c r="F21" i="2"/>
  <c r="L53" i="1"/>
  <c r="L52" i="1"/>
  <c r="E50" i="1"/>
  <c r="E51" i="1"/>
  <c r="E52" i="1"/>
  <c r="E53" i="1"/>
  <c r="E54" i="1"/>
  <c r="E55" i="1"/>
  <c r="E56" i="1"/>
  <c r="E57" i="1"/>
  <c r="E58" i="1"/>
  <c r="E49" i="1"/>
  <c r="D50" i="1"/>
  <c r="D51" i="1"/>
  <c r="D52" i="1"/>
  <c r="D53" i="1"/>
  <c r="D54" i="1"/>
  <c r="D55" i="1"/>
  <c r="D56" i="1"/>
  <c r="D57" i="1"/>
  <c r="D58" i="1"/>
  <c r="D49" i="1"/>
  <c r="C58" i="1"/>
  <c r="C57" i="1"/>
  <c r="C56" i="1"/>
  <c r="C55" i="1"/>
  <c r="C54" i="1"/>
  <c r="C53" i="1"/>
  <c r="C52" i="1"/>
  <c r="C51" i="1"/>
  <c r="C50" i="1"/>
  <c r="C49" i="1"/>
  <c r="S39" i="1"/>
  <c r="Z46" i="1"/>
  <c r="S37" i="1"/>
  <c r="S36" i="1"/>
  <c r="S35" i="1"/>
  <c r="S34" i="1"/>
  <c r="S33" i="1"/>
  <c r="S32" i="1"/>
  <c r="S31" i="1"/>
  <c r="S30" i="1"/>
  <c r="S29" i="1"/>
  <c r="S28" i="1"/>
  <c r="M30" i="1"/>
  <c r="M29" i="1"/>
  <c r="E29" i="1"/>
  <c r="F29" i="1" s="1"/>
  <c r="E30" i="1"/>
  <c r="F30" i="1" s="1"/>
  <c r="E31" i="1"/>
  <c r="F31" i="1" s="1"/>
  <c r="E32" i="1"/>
  <c r="F32" i="1" s="1"/>
  <c r="E33" i="1"/>
  <c r="F33" i="1" s="1"/>
  <c r="E34" i="1"/>
  <c r="F34" i="1" s="1"/>
  <c r="E35" i="1"/>
  <c r="F35" i="1" s="1"/>
  <c r="E36" i="1"/>
  <c r="F36" i="1" s="1"/>
  <c r="E37" i="1"/>
  <c r="F37" i="1" s="1"/>
  <c r="E28" i="1"/>
  <c r="F28" i="1" s="1"/>
</calcChain>
</file>

<file path=xl/sharedStrings.xml><?xml version="1.0" encoding="utf-8"?>
<sst xmlns="http://schemas.openxmlformats.org/spreadsheetml/2006/main" count="122" uniqueCount="54">
  <si>
    <t>ce</t>
  </si>
  <si>
    <t>se</t>
  </si>
  <si>
    <t>ce-se</t>
  </si>
  <si>
    <t>abs(ce-sin ej)</t>
  </si>
  <si>
    <t>dif abs ordenada</t>
  </si>
  <si>
    <t>jerarquia</t>
  </si>
  <si>
    <t>jer reasignada</t>
  </si>
  <si>
    <t>jer asignada</t>
  </si>
  <si>
    <t>&lt;0</t>
  </si>
  <si>
    <t>&gt;0</t>
  </si>
  <si>
    <t>w-</t>
  </si>
  <si>
    <t>w+</t>
  </si>
  <si>
    <t>w</t>
  </si>
  <si>
    <t xml:space="preserve">REGION CRITICA </t>
  </si>
  <si>
    <t>DE UNA SOLA COLA</t>
  </si>
  <si>
    <t>prueba de rangos con signos de wilcoxon</t>
  </si>
  <si>
    <t>prueba de signos</t>
  </si>
  <si>
    <t>signos</t>
  </si>
  <si>
    <t>+</t>
  </si>
  <si>
    <t>-</t>
  </si>
  <si>
    <t>R+</t>
  </si>
  <si>
    <t>n/2</t>
  </si>
  <si>
    <t>&lt;</t>
  </si>
  <si>
    <t>mediana</t>
  </si>
  <si>
    <t>dif</t>
  </si>
  <si>
    <t>dif-50</t>
  </si>
  <si>
    <t>abs(dif-50)</t>
  </si>
  <si>
    <t>visita</t>
  </si>
  <si>
    <t>tiempo</t>
  </si>
  <si>
    <t>dif=tiempo-20</t>
  </si>
  <si>
    <t>dif abs</t>
  </si>
  <si>
    <t>n</t>
  </si>
  <si>
    <t>c12</t>
  </si>
  <si>
    <t>c26</t>
  </si>
  <si>
    <t>todos</t>
  </si>
  <si>
    <t>pertenece</t>
  </si>
  <si>
    <t>rango</t>
  </si>
  <si>
    <t>Turno</t>
  </si>
  <si>
    <t>Suma Rango</t>
  </si>
  <si>
    <t>Tamaño:</t>
  </si>
  <si>
    <t xml:space="preserve">Determinación del estadístico U = </t>
  </si>
  <si>
    <t xml:space="preserve">Media de U = </t>
  </si>
  <si>
    <t xml:space="preserve">Varianza de U = </t>
  </si>
  <si>
    <t xml:space="preserve">Desviación de U = </t>
  </si>
  <si>
    <t xml:space="preserve">Cálculo del estadistico de la prueba = </t>
  </si>
  <si>
    <t xml:space="preserve">Valor crítico Z = </t>
  </si>
  <si>
    <t>El rendimiento del turno diurno es mejor que los del turno nocturno</t>
  </si>
  <si>
    <t xml:space="preserve">Cálculo de U(c12) = </t>
  </si>
  <si>
    <t xml:space="preserve">Cálculo de U(c26) = </t>
  </si>
  <si>
    <t>No rechazar Ho</t>
  </si>
  <si>
    <t>U</t>
  </si>
  <si>
    <t xml:space="preserve">desición </t>
  </si>
  <si>
    <t>media</t>
  </si>
  <si>
    <t>desv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</si>
</sst>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2" borderId="0" xfId="0" applyFill="1" applyAlignment="1">
      <alignment horizontal="center"/>
    </xf>
    <xf numFmtId="0" fontId="0" fillId="0" borderId="1" xfId="0" applyBorder="1"/>
    <xf numFmtId="0" fontId="0" fillId="0" borderId="0" xfId="0" applyAlignment="1">
      <alignment horizontal="righ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6" xfId="0" applyBorder="1" applyAlignment="1">
      <alignment horizontal="center" vertical="center"/>
    </xf>
    <xf numFmtId="165" fontId="0" fillId="0" borderId="6" xfId="0" applyNumberFormat="1" applyBorder="1" applyAlignment="1">
      <alignment horizontal="center" vertical="center"/>
    </xf>
    <xf numFmtId="164" fontId="0" fillId="0" borderId="6" xfId="0" applyNumberFormat="1" applyBorder="1" applyAlignment="1">
      <alignment horizontal="center" vertic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17</xdr:col>
      <xdr:colOff>409574</xdr:colOff>
      <xdr:row>12</xdr:row>
      <xdr:rowOff>76199</xdr:rowOff>
    </xdr:to>
    <xdr:sp macro="" textlink="">
      <xdr:nvSpPr>
        <xdr:cNvPr id="2" name="CuadroTexto 1">
          <a:extLst>
            <a:ext uri="{FF2B5EF4-FFF2-40B4-BE49-F238E27FC236}">
              <a16:creationId xmlns:a16="http://schemas.microsoft.com/office/drawing/2014/main" id="{EEAADE51-B236-B8E0-217F-DC5D87D57C57}"/>
            </a:ext>
          </a:extLst>
        </xdr:cNvPr>
        <xdr:cNvSpPr txBox="1"/>
      </xdr:nvSpPr>
      <xdr:spPr>
        <a:xfrm>
          <a:off x="0" y="200024"/>
          <a:ext cx="9648824" cy="2162175"/>
        </a:xfrm>
        <a:prstGeom prst="rect">
          <a:avLst/>
        </a:prstGeom>
        <a:solidFill>
          <a:schemeClr val="accent4">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ctr"/>
          <a:r>
            <a:rPr lang="es-CO" sz="1600" b="0" i="0" u="none" strike="noStrike" baseline="0">
              <a:solidFill>
                <a:schemeClr val="dk1"/>
              </a:solidFill>
              <a:latin typeface="+mn-lt"/>
              <a:ea typeface="+mn-ea"/>
              <a:cs typeface="+mn-cs"/>
            </a:rPr>
            <a:t>Se afirma que, si se le proporcionan ejemplos de problemas con antelacion, un estudiante puede aumentar en al menos 50 puntos su calificacion.</a:t>
          </a:r>
        </a:p>
        <a:p>
          <a:pPr algn="ctr"/>
          <a:endParaRPr lang="es-CO" sz="1600" b="0" i="0" u="none" strike="noStrike" baseline="0">
            <a:solidFill>
              <a:schemeClr val="dk1"/>
            </a:solidFill>
            <a:latin typeface="+mn-lt"/>
            <a:ea typeface="+mn-ea"/>
            <a:cs typeface="+mn-cs"/>
          </a:endParaRPr>
        </a:p>
        <a:p>
          <a:pPr algn="ctr"/>
          <a:r>
            <a:rPr lang="es-CO" sz="1600" b="0" i="0" u="none" strike="noStrike" baseline="0">
              <a:solidFill>
                <a:schemeClr val="dk1"/>
              </a:solidFill>
              <a:latin typeface="+mn-lt"/>
              <a:ea typeface="+mn-ea"/>
              <a:cs typeface="+mn-cs"/>
            </a:rPr>
            <a:t>Para probar esta afirmacion se divide a un grupo de 20 estudiantes del ultimo ano en 10 pares, de manera que cada par tenga casi la misma calificacion promedio durante sus 3 primeros anos en la universidad. </a:t>
          </a:r>
        </a:p>
        <a:p>
          <a:pPr algn="ctr"/>
          <a:endParaRPr lang="es-CO" sz="1600" b="0" i="0" u="none" strike="noStrike" baseline="0">
            <a:solidFill>
              <a:schemeClr val="dk1"/>
            </a:solidFill>
            <a:latin typeface="+mn-lt"/>
            <a:ea typeface="+mn-ea"/>
            <a:cs typeface="+mn-cs"/>
          </a:endParaRPr>
        </a:p>
        <a:p>
          <a:pPr algn="ctr"/>
          <a:r>
            <a:rPr lang="es-CO" sz="1600" b="0" i="0" u="none" strike="noStrike" baseline="0">
              <a:solidFill>
                <a:schemeClr val="dk1"/>
              </a:solidFill>
              <a:latin typeface="+mn-lt"/>
              <a:ea typeface="+mn-ea"/>
              <a:cs typeface="+mn-cs"/>
            </a:rPr>
            <a:t>Los ejemplos de problemas y las respuestas se proporcionan al azar a un miembro de cada par una semana antes del examen. Las calificaciones del examen se presentan en la sgte tabla</a:t>
          </a:r>
          <a:endParaRPr lang="es-CO" sz="1600"/>
        </a:p>
      </xdr:txBody>
    </xdr:sp>
    <xdr:clientData/>
  </xdr:twoCellAnchor>
  <xdr:twoCellAnchor editAs="oneCell">
    <xdr:from>
      <xdr:col>0</xdr:col>
      <xdr:colOff>247650</xdr:colOff>
      <xdr:row>14</xdr:row>
      <xdr:rowOff>0</xdr:rowOff>
    </xdr:from>
    <xdr:to>
      <xdr:col>14</xdr:col>
      <xdr:colOff>47625</xdr:colOff>
      <xdr:row>22</xdr:row>
      <xdr:rowOff>41692</xdr:rowOff>
    </xdr:to>
    <xdr:pic>
      <xdr:nvPicPr>
        <xdr:cNvPr id="3" name="Imagen 2">
          <a:extLst>
            <a:ext uri="{FF2B5EF4-FFF2-40B4-BE49-F238E27FC236}">
              <a16:creationId xmlns:a16="http://schemas.microsoft.com/office/drawing/2014/main" id="{4516A7EC-0107-A247-47B2-D80FB91B5905}"/>
            </a:ext>
          </a:extLst>
        </xdr:cNvPr>
        <xdr:cNvPicPr>
          <a:picLocks noChangeAspect="1"/>
        </xdr:cNvPicPr>
      </xdr:nvPicPr>
      <xdr:blipFill>
        <a:blip xmlns:r="http://schemas.openxmlformats.org/officeDocument/2006/relationships" r:embed="rId1"/>
        <a:stretch>
          <a:fillRect/>
        </a:stretch>
      </xdr:blipFill>
      <xdr:spPr>
        <a:xfrm>
          <a:off x="247650" y="2667000"/>
          <a:ext cx="7562850" cy="1565692"/>
        </a:xfrm>
        <a:prstGeom prst="rect">
          <a:avLst/>
        </a:prstGeom>
      </xdr:spPr>
    </xdr:pic>
    <xdr:clientData/>
  </xdr:twoCellAnchor>
  <xdr:twoCellAnchor editAs="oneCell">
    <xdr:from>
      <xdr:col>25</xdr:col>
      <xdr:colOff>0</xdr:colOff>
      <xdr:row>39</xdr:row>
      <xdr:rowOff>104775</xdr:rowOff>
    </xdr:from>
    <xdr:to>
      <xdr:col>30</xdr:col>
      <xdr:colOff>409890</xdr:colOff>
      <xdr:row>42</xdr:row>
      <xdr:rowOff>65</xdr:rowOff>
    </xdr:to>
    <xdr:pic>
      <xdr:nvPicPr>
        <xdr:cNvPr id="4" name="Imagen 3">
          <a:extLst>
            <a:ext uri="{FF2B5EF4-FFF2-40B4-BE49-F238E27FC236}">
              <a16:creationId xmlns:a16="http://schemas.microsoft.com/office/drawing/2014/main" id="{4FF64AB5-1140-B6C7-1B8D-F5577FBC9BCB}"/>
            </a:ext>
          </a:extLst>
        </xdr:cNvPr>
        <xdr:cNvPicPr>
          <a:picLocks noChangeAspect="1"/>
        </xdr:cNvPicPr>
      </xdr:nvPicPr>
      <xdr:blipFill>
        <a:blip xmlns:r="http://schemas.openxmlformats.org/officeDocument/2006/relationships" r:embed="rId2"/>
        <a:stretch>
          <a:fillRect/>
        </a:stretch>
      </xdr:blipFill>
      <xdr:spPr>
        <a:xfrm>
          <a:off x="10668000" y="7534275"/>
          <a:ext cx="2257740" cy="4667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600075</xdr:colOff>
      <xdr:row>0</xdr:row>
      <xdr:rowOff>0</xdr:rowOff>
    </xdr:from>
    <xdr:to>
      <xdr:col>17</xdr:col>
      <xdr:colOff>723900</xdr:colOff>
      <xdr:row>6</xdr:row>
      <xdr:rowOff>85725</xdr:rowOff>
    </xdr:to>
    <xdr:sp macro="" textlink="">
      <xdr:nvSpPr>
        <xdr:cNvPr id="2" name="CuadroTexto 1">
          <a:extLst>
            <a:ext uri="{FF2B5EF4-FFF2-40B4-BE49-F238E27FC236}">
              <a16:creationId xmlns:a16="http://schemas.microsoft.com/office/drawing/2014/main" id="{575DEAB8-7B15-0FCD-6401-76919B5A3E85}"/>
            </a:ext>
          </a:extLst>
        </xdr:cNvPr>
        <xdr:cNvSpPr txBox="1"/>
      </xdr:nvSpPr>
      <xdr:spPr>
        <a:xfrm>
          <a:off x="4533900" y="0"/>
          <a:ext cx="10353675"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0" i="0">
              <a:solidFill>
                <a:schemeClr val="dk1"/>
              </a:solidFill>
              <a:effectLst/>
              <a:latin typeface="+mn-lt"/>
              <a:ea typeface="+mn-ea"/>
              <a:cs typeface="+mn-cs"/>
            </a:rPr>
            <a:t>Las membranas fetales (amnios y corion) forman un saco delgado y resistente que rodea al feto. Aunque su espesor es mínimo, se asume un grosor de aproximadamente 0.6 mm en el interior del útero hacia el final del embarazo. Estas membranas son esenciales para la protección y contención del líquido amniótico.</a:t>
          </a:r>
        </a:p>
        <a:p>
          <a:r>
            <a:rPr lang="es-CO" sz="1100" b="0" i="0">
              <a:solidFill>
                <a:schemeClr val="dk1"/>
              </a:solidFill>
              <a:effectLst/>
              <a:latin typeface="+mn-lt"/>
              <a:ea typeface="+mn-ea"/>
              <a:cs typeface="+mn-cs"/>
            </a:rPr>
            <a:t>Los siguientes datos corresponden a medidas del grosor de las membranas fetales medida a las 12 y 26 semanas de edad gestacional.</a:t>
          </a:r>
        </a:p>
        <a:p>
          <a:endParaRPr lang="es-CO"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O" sz="1100" b="0" i="0">
              <a:solidFill>
                <a:schemeClr val="dk1"/>
              </a:solidFill>
              <a:effectLst/>
              <a:latin typeface="+mn-lt"/>
              <a:ea typeface="+mn-ea"/>
              <a:cs typeface="+mn-cs"/>
            </a:rPr>
            <a:t>Mediante la prueba de suma de rangos de wilcoxon pruebe la hipótesis de que la membrana es mayor a las 12 semanas que a las 26 semanas, con un nivel de significancia de 0.05</a:t>
          </a:r>
        </a:p>
        <a:p>
          <a:endParaRPr lang="es-CO" sz="1100" b="0" i="0">
            <a:solidFill>
              <a:schemeClr val="dk1"/>
            </a:solidFill>
            <a:effectLst/>
            <a:latin typeface="+mn-lt"/>
            <a:ea typeface="+mn-ea"/>
            <a:cs typeface="+mn-cs"/>
          </a:endParaRPr>
        </a:p>
        <a:p>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47625</xdr:rowOff>
    </xdr:from>
    <xdr:to>
      <xdr:col>19</xdr:col>
      <xdr:colOff>533400</xdr:colOff>
      <xdr:row>16</xdr:row>
      <xdr:rowOff>66675</xdr:rowOff>
    </xdr:to>
    <xdr:sp macro="" textlink="">
      <xdr:nvSpPr>
        <xdr:cNvPr id="2" name="CuadroTexto 1">
          <a:extLst>
            <a:ext uri="{FF2B5EF4-FFF2-40B4-BE49-F238E27FC236}">
              <a16:creationId xmlns:a16="http://schemas.microsoft.com/office/drawing/2014/main" id="{65AD45C1-FB29-8FCA-21AF-166601F9C016}"/>
            </a:ext>
          </a:extLst>
        </xdr:cNvPr>
        <xdr:cNvSpPr txBox="1"/>
      </xdr:nvSpPr>
      <xdr:spPr>
        <a:xfrm>
          <a:off x="0" y="47625"/>
          <a:ext cx="8696325" cy="306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0" i="0">
              <a:solidFill>
                <a:schemeClr val="dk1"/>
              </a:solidFill>
              <a:effectLst/>
              <a:latin typeface="+mn-lt"/>
              <a:ea typeface="+mn-ea"/>
              <a:cs typeface="+mn-cs"/>
            </a:rPr>
            <a:t>Los siguientes datos representan el tiempo, en minutos, que un paciente tiene que esperar durante 12 visitas al consultorio de un médico antes de ser atendido:</a:t>
          </a:r>
        </a:p>
        <a:p>
          <a:endParaRPr lang="es-CO" sz="1800" b="0" i="0">
            <a:solidFill>
              <a:schemeClr val="dk1"/>
            </a:solidFill>
            <a:effectLst/>
            <a:latin typeface="+mn-lt"/>
            <a:ea typeface="+mn-ea"/>
            <a:cs typeface="+mn-cs"/>
          </a:endParaRPr>
        </a:p>
        <a:p>
          <a:r>
            <a:rPr lang="es-CO" sz="1800" b="0" i="0">
              <a:solidFill>
                <a:schemeClr val="dk1"/>
              </a:solidFill>
              <a:effectLst/>
              <a:latin typeface="+mn-lt"/>
              <a:ea typeface="+mn-ea"/>
              <a:cs typeface="+mn-cs"/>
            </a:rPr>
            <a:t>Utilice la prueba de signo a un nivel de significancia de 0.05 para probar la afirmación del médico de que la mediana del tiempo de espera de sus pacientes no es mayor de 20 minutos.</a:t>
          </a:r>
        </a:p>
        <a:p>
          <a:endParaRPr lang="es-CO" sz="1800" b="0" i="0">
            <a:solidFill>
              <a:schemeClr val="dk1"/>
            </a:solidFill>
            <a:effectLst/>
            <a:latin typeface="+mn-lt"/>
            <a:ea typeface="+mn-ea"/>
            <a:cs typeface="+mn-cs"/>
          </a:endParaRPr>
        </a:p>
        <a:p>
          <a:r>
            <a:rPr lang="es-CO" sz="1800" b="0" i="0">
              <a:solidFill>
                <a:schemeClr val="dk1"/>
              </a:solidFill>
              <a:effectLst/>
              <a:latin typeface="+mn-lt"/>
              <a:ea typeface="+mn-ea"/>
              <a:cs typeface="+mn-cs"/>
            </a:rPr>
            <a:t>1. juego</a:t>
          </a:r>
          <a:r>
            <a:rPr lang="es-CO" sz="1800" b="0" i="0" baseline="0">
              <a:solidFill>
                <a:schemeClr val="dk1"/>
              </a:solidFill>
              <a:effectLst/>
              <a:latin typeface="+mn-lt"/>
              <a:ea typeface="+mn-ea"/>
              <a:cs typeface="+mn-cs"/>
            </a:rPr>
            <a:t> de hipotesis                                          2. nivel de significancia</a:t>
          </a:r>
        </a:p>
        <a:p>
          <a:endParaRPr lang="es-CO" sz="1800" b="0" i="0" baseline="0">
            <a:solidFill>
              <a:schemeClr val="dk1"/>
            </a:solidFill>
            <a:effectLst/>
            <a:latin typeface="+mn-lt"/>
            <a:ea typeface="+mn-ea"/>
            <a:cs typeface="+mn-cs"/>
          </a:endParaRPr>
        </a:p>
        <a:p>
          <a:endParaRPr lang="es-CO" sz="1800" b="0" i="0">
            <a:solidFill>
              <a:schemeClr val="dk1"/>
            </a:solidFill>
            <a:effectLst/>
            <a:latin typeface="+mn-lt"/>
            <a:ea typeface="+mn-ea"/>
            <a:cs typeface="+mn-cs"/>
          </a:endParaRPr>
        </a:p>
        <a:p>
          <a:endParaRPr lang="es-CO" sz="1100"/>
        </a:p>
      </xdr:txBody>
    </xdr:sp>
    <xdr:clientData/>
  </xdr:twoCellAnchor>
  <xdr:oneCellAnchor>
    <xdr:from>
      <xdr:col>0</xdr:col>
      <xdr:colOff>304799</xdr:colOff>
      <xdr:row>11</xdr:row>
      <xdr:rowOff>61911</xdr:rowOff>
    </xdr:from>
    <xdr:ext cx="6877051" cy="785814"/>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78DD9F42-9CD4-7A11-5EED-DB5A92EA84DA}"/>
                </a:ext>
              </a:extLst>
            </xdr:cNvPr>
            <xdr:cNvSpPr txBox="1"/>
          </xdr:nvSpPr>
          <xdr:spPr>
            <a:xfrm>
              <a:off x="304799" y="2157411"/>
              <a:ext cx="6877051" cy="7858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 xmlns:m="http://schemas.openxmlformats.org/officeDocument/2006/math">
                  <m:sSub>
                    <m:sSubPr>
                      <m:ctrlPr>
                        <a:rPr lang="es-CO" sz="1800" b="0" i="1">
                          <a:latin typeface="Cambria Math" panose="02040503050406030204" pitchFamily="18" charset="0"/>
                        </a:rPr>
                      </m:ctrlPr>
                    </m:sSubPr>
                    <m:e>
                      <m:r>
                        <a:rPr lang="es-CO" sz="1800" b="0" i="1">
                          <a:latin typeface="Cambria Math" panose="02040503050406030204" pitchFamily="18" charset="0"/>
                        </a:rPr>
                        <m:t>𝐻</m:t>
                      </m:r>
                    </m:e>
                    <m:sub>
                      <m:r>
                        <a:rPr lang="es-CO" sz="1800" b="0" i="1">
                          <a:latin typeface="Cambria Math" panose="02040503050406030204" pitchFamily="18" charset="0"/>
                        </a:rPr>
                        <m:t>0</m:t>
                      </m:r>
                    </m:sub>
                  </m:sSub>
                  <m:r>
                    <a:rPr lang="es-CO" sz="1800" b="0" i="1">
                      <a:latin typeface="Cambria Math" panose="02040503050406030204" pitchFamily="18" charset="0"/>
                    </a:rPr>
                    <m:t>:                  </m:t>
                  </m:r>
                  <m:r>
                    <a:rPr lang="es-CO" sz="1800" b="0" i="1">
                      <a:latin typeface="Cambria Math" panose="02040503050406030204" pitchFamily="18" charset="0"/>
                    </a:rPr>
                    <m:t>𝑀𝑒</m:t>
                  </m:r>
                  <m:r>
                    <a:rPr lang="es-CO" sz="1800" b="0" i="1">
                      <a:latin typeface="Cambria Math" panose="02040503050406030204" pitchFamily="18" charset="0"/>
                    </a:rPr>
                    <m:t>=20</m:t>
                  </m:r>
                </m:oMath>
              </a14:m>
              <a:r>
                <a:rPr lang="es-CO" sz="1800" b="0"/>
                <a:t>                                          </a:t>
              </a:r>
              <a14:m>
                <m:oMath xmlns:m="http://schemas.openxmlformats.org/officeDocument/2006/math">
                  <m:r>
                    <a:rPr lang="es-CO" sz="1800" b="0" i="1">
                      <a:latin typeface="Cambria Math" panose="02040503050406030204" pitchFamily="18" charset="0"/>
                      <a:ea typeface="Cambria Math" panose="02040503050406030204" pitchFamily="18" charset="0"/>
                    </a:rPr>
                    <m:t>𝛼</m:t>
                  </m:r>
                  <m:r>
                    <a:rPr lang="es-CO" sz="1800" b="0" i="1">
                      <a:latin typeface="Cambria Math" panose="02040503050406030204" pitchFamily="18" charset="0"/>
                      <a:ea typeface="Cambria Math" panose="02040503050406030204" pitchFamily="18" charset="0"/>
                    </a:rPr>
                    <m:t>=0,05</m:t>
                  </m:r>
                </m:oMath>
              </a14:m>
              <a:endParaRPr lang="es-CO" sz="1800" b="0" i="1">
                <a:latin typeface="Cambria Math" panose="02040503050406030204" pitchFamily="18" charset="0"/>
                <a:ea typeface="Cambria Math" panose="02040503050406030204" pitchFamily="18" charset="0"/>
              </a:endParaRPr>
            </a:p>
            <a:p>
              <a:pPr/>
              <a14:m>
                <m:oMathPara xmlns:m="http://schemas.openxmlformats.org/officeDocument/2006/math">
                  <m:oMathParaPr>
                    <m:jc m:val="left"/>
                  </m:oMathParaPr>
                  <m:oMath xmlns:m="http://schemas.openxmlformats.org/officeDocument/2006/math">
                    <m:r>
                      <a:rPr lang="es-CO" sz="1800" b="0" i="1">
                        <a:latin typeface="Cambria Math" panose="02040503050406030204" pitchFamily="18" charset="0"/>
                      </a:rPr>
                      <m:t>𝐻𝑎</m:t>
                    </m:r>
                    <m:r>
                      <a:rPr lang="es-CO" sz="1800" b="0" i="1">
                        <a:latin typeface="Cambria Math" panose="02040503050406030204" pitchFamily="18" charset="0"/>
                      </a:rPr>
                      <m:t>:                </m:t>
                    </m:r>
                    <m:r>
                      <a:rPr lang="es-CO" sz="1800" b="0" i="1">
                        <a:latin typeface="Cambria Math" panose="02040503050406030204" pitchFamily="18" charset="0"/>
                      </a:rPr>
                      <m:t>𝑀𝑒</m:t>
                    </m:r>
                    <m:r>
                      <a:rPr lang="es-CO" sz="1800" b="0" i="1">
                        <a:latin typeface="Cambria Math" panose="02040503050406030204" pitchFamily="18" charset="0"/>
                      </a:rPr>
                      <m:t>&lt;20</m:t>
                    </m:r>
                  </m:oMath>
                </m:oMathPara>
              </a14:m>
              <a:endParaRPr lang="es-CO" sz="1800" b="0"/>
            </a:p>
            <a:p>
              <a:endParaRPr lang="es-CO" sz="1100"/>
            </a:p>
          </xdr:txBody>
        </xdr:sp>
      </mc:Choice>
      <mc:Fallback xmlns="">
        <xdr:sp macro="" textlink="">
          <xdr:nvSpPr>
            <xdr:cNvPr id="3" name="CuadroTexto 2">
              <a:extLst>
                <a:ext uri="{FF2B5EF4-FFF2-40B4-BE49-F238E27FC236}">
                  <a16:creationId xmlns:a16="http://schemas.microsoft.com/office/drawing/2014/main" id="{78DD9F42-9CD4-7A11-5EED-DB5A92EA84DA}"/>
                </a:ext>
              </a:extLst>
            </xdr:cNvPr>
            <xdr:cNvSpPr txBox="1"/>
          </xdr:nvSpPr>
          <xdr:spPr>
            <a:xfrm>
              <a:off x="304799" y="2157411"/>
              <a:ext cx="6877051" cy="7858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CO" sz="1800" b="0" i="0">
                  <a:latin typeface="Cambria Math" panose="02040503050406030204" pitchFamily="18" charset="0"/>
                </a:rPr>
                <a:t>𝐻_0:                  𝑀𝑒=20</a:t>
              </a:r>
              <a:r>
                <a:rPr lang="es-CO" sz="1800" b="0"/>
                <a:t>                                          </a:t>
              </a:r>
              <a:r>
                <a:rPr lang="es-CO" sz="1800" b="0" i="0">
                  <a:latin typeface="Cambria Math" panose="02040503050406030204" pitchFamily="18" charset="0"/>
                  <a:ea typeface="Cambria Math" panose="02040503050406030204" pitchFamily="18" charset="0"/>
                </a:rPr>
                <a:t>𝛼=0,05</a:t>
              </a:r>
              <a:endParaRPr lang="es-CO" sz="1800" b="0" i="1">
                <a:latin typeface="Cambria Math" panose="02040503050406030204" pitchFamily="18" charset="0"/>
                <a:ea typeface="Cambria Math" panose="02040503050406030204" pitchFamily="18" charset="0"/>
              </a:endParaRPr>
            </a:p>
            <a:p>
              <a:pPr/>
              <a:r>
                <a:rPr lang="es-CO" sz="1800" b="0" i="0">
                  <a:latin typeface="Cambria Math" panose="02040503050406030204" pitchFamily="18" charset="0"/>
                </a:rPr>
                <a:t>𝐻𝑎:                𝑀𝑒&lt;20</a:t>
              </a:r>
              <a:endParaRPr lang="es-CO" sz="1800" b="0"/>
            </a:p>
            <a:p>
              <a:endParaRPr lang="es-CO" sz="1100"/>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E872-F2E3-4D91-9F0E-12F06786B2EA}">
  <dimension ref="A24:AD63"/>
  <sheetViews>
    <sheetView topLeftCell="A19" workbookViewId="0">
      <selection activeCell="L29" sqref="L29:N31"/>
    </sheetView>
  </sheetViews>
  <sheetFormatPr baseColWidth="10" defaultRowHeight="15" x14ac:dyDescent="0.25"/>
  <cols>
    <col min="1" max="1" width="16.140625" bestFit="1" customWidth="1"/>
    <col min="2" max="2" width="15.42578125" bestFit="1" customWidth="1"/>
    <col min="3" max="3" width="5.7109375" style="1" bestFit="1" customWidth="1"/>
    <col min="4" max="4" width="6" style="1" bestFit="1" customWidth="1"/>
    <col min="5" max="5" width="10.7109375" style="1" bestFit="1" customWidth="1"/>
    <col min="6" max="6" width="13.140625" style="1" bestFit="1" customWidth="1"/>
    <col min="7" max="7" width="12" style="1" bestFit="1" customWidth="1"/>
    <col min="8" max="11" width="3" bestFit="1" customWidth="1"/>
    <col min="12" max="12" width="5.7109375" customWidth="1"/>
    <col min="13" max="13" width="8.140625" customWidth="1"/>
    <col min="17" max="17" width="5" customWidth="1"/>
    <col min="18" max="18" width="8.85546875" bestFit="1" customWidth="1"/>
    <col min="19" max="19" width="5.7109375" bestFit="1" customWidth="1"/>
    <col min="20" max="20" width="6.85546875" bestFit="1" customWidth="1"/>
    <col min="21" max="25" width="5" customWidth="1"/>
    <col min="26" max="26" width="7.7109375" bestFit="1" customWidth="1"/>
    <col min="27" max="30" width="5" customWidth="1"/>
  </cols>
  <sheetData>
    <row r="24" spans="1:30" x14ac:dyDescent="0.25">
      <c r="B24" t="s">
        <v>13</v>
      </c>
      <c r="F24" s="1" t="s">
        <v>14</v>
      </c>
    </row>
    <row r="26" spans="1:30" x14ac:dyDescent="0.25">
      <c r="A26" s="13" t="s">
        <v>15</v>
      </c>
      <c r="B26" s="13"/>
      <c r="C26" s="13"/>
      <c r="D26" s="13"/>
      <c r="E26" s="13"/>
      <c r="F26" s="13"/>
      <c r="G26" s="13"/>
      <c r="H26" s="13"/>
      <c r="I26" s="13"/>
      <c r="J26" s="13"/>
      <c r="K26" s="13"/>
      <c r="L26" s="13"/>
      <c r="M26" s="13"/>
      <c r="N26" s="13"/>
      <c r="Q26" s="13" t="s">
        <v>16</v>
      </c>
      <c r="R26" s="13"/>
      <c r="S26" s="13"/>
      <c r="T26" s="13"/>
      <c r="U26" s="13"/>
      <c r="V26" s="13"/>
      <c r="W26" s="13"/>
      <c r="X26" s="13"/>
      <c r="Y26" s="13"/>
      <c r="Z26" s="13"/>
      <c r="AA26" s="13"/>
      <c r="AB26" s="13"/>
      <c r="AC26" s="13"/>
      <c r="AD26" s="13"/>
    </row>
    <row r="27" spans="1:30" x14ac:dyDescent="0.25">
      <c r="C27" s="1" t="s">
        <v>0</v>
      </c>
      <c r="D27" s="1" t="s">
        <v>1</v>
      </c>
      <c r="E27" s="1" t="s">
        <v>2</v>
      </c>
      <c r="F27" s="1" t="s">
        <v>3</v>
      </c>
      <c r="G27" s="1" t="s">
        <v>7</v>
      </c>
      <c r="Q27" s="1" t="s">
        <v>0</v>
      </c>
      <c r="R27" s="1" t="s">
        <v>1</v>
      </c>
      <c r="S27" s="1" t="s">
        <v>2</v>
      </c>
      <c r="T27" s="1" t="s">
        <v>17</v>
      </c>
    </row>
    <row r="28" spans="1:30" x14ac:dyDescent="0.25">
      <c r="C28" s="1">
        <v>531</v>
      </c>
      <c r="D28" s="1">
        <v>509</v>
      </c>
      <c r="E28" s="1">
        <f>C28-D28</f>
        <v>22</v>
      </c>
      <c r="F28" s="1">
        <f>ABS(E28)</f>
        <v>22</v>
      </c>
      <c r="G28" s="1">
        <v>2</v>
      </c>
      <c r="Q28" s="1">
        <v>531</v>
      </c>
      <c r="R28" s="1">
        <v>509</v>
      </c>
      <c r="S28" s="1">
        <f>Q28-R28</f>
        <v>22</v>
      </c>
      <c r="T28" t="s">
        <v>18</v>
      </c>
    </row>
    <row r="29" spans="1:30" x14ac:dyDescent="0.25">
      <c r="C29" s="1">
        <v>621</v>
      </c>
      <c r="D29" s="1">
        <v>540</v>
      </c>
      <c r="E29" s="1">
        <f t="shared" ref="E29:E37" si="0">C29-D29</f>
        <v>81</v>
      </c>
      <c r="F29" s="1">
        <f t="shared" ref="F29:F37" si="1">ABS(E29)</f>
        <v>81</v>
      </c>
      <c r="G29" s="1">
        <v>10</v>
      </c>
      <c r="L29" t="s">
        <v>10</v>
      </c>
      <c r="M29">
        <f>SUMIF(G28:G37,N29)</f>
        <v>-15.5</v>
      </c>
      <c r="N29" t="s">
        <v>8</v>
      </c>
      <c r="Q29" s="1">
        <v>621</v>
      </c>
      <c r="R29" s="1">
        <v>540</v>
      </c>
      <c r="S29" s="1">
        <f t="shared" ref="S29:S37" si="2">Q29-R29</f>
        <v>81</v>
      </c>
      <c r="T29" t="s">
        <v>18</v>
      </c>
    </row>
    <row r="30" spans="1:30" x14ac:dyDescent="0.25">
      <c r="C30" s="1">
        <v>663</v>
      </c>
      <c r="D30" s="1">
        <v>688</v>
      </c>
      <c r="E30" s="1">
        <f t="shared" si="0"/>
        <v>-25</v>
      </c>
      <c r="F30" s="1">
        <f t="shared" si="1"/>
        <v>25</v>
      </c>
      <c r="G30" s="1">
        <v>-5</v>
      </c>
      <c r="L30" t="s">
        <v>11</v>
      </c>
      <c r="M30">
        <f>SUMIF(G28:G37,N30)</f>
        <v>39.5</v>
      </c>
      <c r="N30" t="s">
        <v>9</v>
      </c>
      <c r="Q30" s="1">
        <v>663</v>
      </c>
      <c r="R30" s="1">
        <v>688</v>
      </c>
      <c r="S30" s="1">
        <f t="shared" si="2"/>
        <v>-25</v>
      </c>
      <c r="T30" t="s">
        <v>19</v>
      </c>
    </row>
    <row r="31" spans="1:30" x14ac:dyDescent="0.25">
      <c r="C31" s="1">
        <v>579</v>
      </c>
      <c r="D31" s="1">
        <v>502</v>
      </c>
      <c r="E31" s="1">
        <f t="shared" si="0"/>
        <v>77</v>
      </c>
      <c r="F31" s="1">
        <f t="shared" si="1"/>
        <v>77</v>
      </c>
      <c r="G31" s="1">
        <v>9</v>
      </c>
      <c r="L31" t="s">
        <v>12</v>
      </c>
      <c r="M31">
        <v>24</v>
      </c>
      <c r="Q31" s="1">
        <v>579</v>
      </c>
      <c r="R31" s="1">
        <v>502</v>
      </c>
      <c r="S31" s="1">
        <f t="shared" si="2"/>
        <v>77</v>
      </c>
      <c r="T31" t="s">
        <v>18</v>
      </c>
    </row>
    <row r="32" spans="1:30" x14ac:dyDescent="0.25">
      <c r="C32" s="1">
        <v>451</v>
      </c>
      <c r="D32" s="1">
        <v>424</v>
      </c>
      <c r="E32" s="1">
        <f t="shared" si="0"/>
        <v>27</v>
      </c>
      <c r="F32" s="1">
        <f t="shared" si="1"/>
        <v>27</v>
      </c>
      <c r="G32" s="1">
        <v>6</v>
      </c>
      <c r="Q32" s="1">
        <v>451</v>
      </c>
      <c r="R32" s="1">
        <v>424</v>
      </c>
      <c r="S32" s="1">
        <f t="shared" si="2"/>
        <v>27</v>
      </c>
      <c r="T32" t="s">
        <v>18</v>
      </c>
    </row>
    <row r="33" spans="1:26" x14ac:dyDescent="0.25">
      <c r="C33" s="1">
        <v>660</v>
      </c>
      <c r="D33" s="1">
        <v>683</v>
      </c>
      <c r="E33" s="1">
        <f t="shared" si="0"/>
        <v>-23</v>
      </c>
      <c r="F33" s="1">
        <f t="shared" si="1"/>
        <v>23</v>
      </c>
      <c r="G33" s="1">
        <v>-3.5</v>
      </c>
      <c r="Q33" s="1">
        <v>660</v>
      </c>
      <c r="R33" s="1">
        <v>683</v>
      </c>
      <c r="S33" s="1">
        <f t="shared" si="2"/>
        <v>-23</v>
      </c>
      <c r="T33" t="s">
        <v>19</v>
      </c>
    </row>
    <row r="34" spans="1:26" x14ac:dyDescent="0.25">
      <c r="C34" s="1">
        <v>591</v>
      </c>
      <c r="D34" s="1">
        <v>568</v>
      </c>
      <c r="E34" s="1">
        <f t="shared" si="0"/>
        <v>23</v>
      </c>
      <c r="F34" s="1">
        <f t="shared" si="1"/>
        <v>23</v>
      </c>
      <c r="G34" s="1">
        <v>3.5</v>
      </c>
      <c r="Q34" s="1">
        <v>591</v>
      </c>
      <c r="R34" s="1">
        <v>568</v>
      </c>
      <c r="S34" s="1">
        <f t="shared" si="2"/>
        <v>23</v>
      </c>
      <c r="T34" t="s">
        <v>18</v>
      </c>
    </row>
    <row r="35" spans="1:26" x14ac:dyDescent="0.25">
      <c r="C35" s="1">
        <v>719</v>
      </c>
      <c r="D35" s="1">
        <v>748</v>
      </c>
      <c r="E35" s="1">
        <f t="shared" si="0"/>
        <v>-29</v>
      </c>
      <c r="F35" s="1">
        <f t="shared" si="1"/>
        <v>29</v>
      </c>
      <c r="G35" s="1">
        <v>-7</v>
      </c>
      <c r="Q35" s="1">
        <v>719</v>
      </c>
      <c r="R35" s="1">
        <v>748</v>
      </c>
      <c r="S35" s="1">
        <f t="shared" si="2"/>
        <v>-29</v>
      </c>
      <c r="T35" t="s">
        <v>19</v>
      </c>
    </row>
    <row r="36" spans="1:26" x14ac:dyDescent="0.25">
      <c r="C36" s="1">
        <v>543</v>
      </c>
      <c r="D36" s="1">
        <v>530</v>
      </c>
      <c r="E36" s="1">
        <f t="shared" si="0"/>
        <v>13</v>
      </c>
      <c r="F36" s="1">
        <f t="shared" si="1"/>
        <v>13</v>
      </c>
      <c r="G36" s="1">
        <v>1</v>
      </c>
      <c r="Q36" s="1">
        <v>543</v>
      </c>
      <c r="R36" s="1">
        <v>530</v>
      </c>
      <c r="S36" s="1">
        <f t="shared" si="2"/>
        <v>13</v>
      </c>
      <c r="T36" t="s">
        <v>18</v>
      </c>
    </row>
    <row r="37" spans="1:26" x14ac:dyDescent="0.25">
      <c r="C37" s="1">
        <v>575</v>
      </c>
      <c r="D37" s="1">
        <v>524</v>
      </c>
      <c r="E37" s="1">
        <f t="shared" si="0"/>
        <v>51</v>
      </c>
      <c r="F37" s="1">
        <f t="shared" si="1"/>
        <v>51</v>
      </c>
      <c r="G37" s="1">
        <v>8</v>
      </c>
      <c r="Q37" s="1">
        <v>575</v>
      </c>
      <c r="R37" s="1">
        <v>524</v>
      </c>
      <c r="S37" s="1">
        <f t="shared" si="2"/>
        <v>51</v>
      </c>
      <c r="T37" t="s">
        <v>18</v>
      </c>
    </row>
    <row r="39" spans="1:26" x14ac:dyDescent="0.25">
      <c r="R39" t="s">
        <v>23</v>
      </c>
      <c r="S39" s="1">
        <f>MEDIAN(S28:S37)</f>
        <v>22.5</v>
      </c>
      <c r="T39" t="s">
        <v>19</v>
      </c>
      <c r="U39">
        <v>3</v>
      </c>
    </row>
    <row r="40" spans="1:26" x14ac:dyDescent="0.25">
      <c r="T40" t="s">
        <v>18</v>
      </c>
      <c r="U40">
        <v>7</v>
      </c>
    </row>
    <row r="42" spans="1:26" x14ac:dyDescent="0.25">
      <c r="A42" t="s">
        <v>4</v>
      </c>
      <c r="B42">
        <v>13</v>
      </c>
      <c r="C42" s="1">
        <v>22</v>
      </c>
      <c r="D42" s="2">
        <v>23</v>
      </c>
      <c r="E42" s="2">
        <v>23</v>
      </c>
      <c r="F42" s="1">
        <v>25</v>
      </c>
      <c r="G42" s="1">
        <v>27</v>
      </c>
      <c r="H42">
        <v>29</v>
      </c>
      <c r="I42">
        <v>51</v>
      </c>
      <c r="J42">
        <v>77</v>
      </c>
      <c r="K42">
        <v>81</v>
      </c>
    </row>
    <row r="43" spans="1:26" x14ac:dyDescent="0.25">
      <c r="A43" t="s">
        <v>5</v>
      </c>
      <c r="B43">
        <v>1</v>
      </c>
      <c r="C43" s="1">
        <v>2</v>
      </c>
      <c r="D43" s="1">
        <v>3</v>
      </c>
      <c r="E43" s="1">
        <v>4</v>
      </c>
      <c r="F43" s="1">
        <v>5</v>
      </c>
      <c r="G43" s="1">
        <v>6</v>
      </c>
      <c r="H43">
        <v>7</v>
      </c>
      <c r="I43">
        <v>8</v>
      </c>
      <c r="J43">
        <v>9</v>
      </c>
      <c r="K43">
        <v>10</v>
      </c>
      <c r="S43" t="s">
        <v>21</v>
      </c>
      <c r="U43" t="s">
        <v>20</v>
      </c>
    </row>
    <row r="44" spans="1:26" x14ac:dyDescent="0.25">
      <c r="A44" t="s">
        <v>6</v>
      </c>
      <c r="B44">
        <v>1</v>
      </c>
      <c r="C44" s="1">
        <v>2</v>
      </c>
      <c r="D44" s="1">
        <v>3.5</v>
      </c>
      <c r="E44" s="1">
        <v>3.5</v>
      </c>
      <c r="F44" s="1">
        <v>5</v>
      </c>
      <c r="G44" s="1">
        <v>6</v>
      </c>
      <c r="H44">
        <v>7</v>
      </c>
      <c r="I44">
        <v>8</v>
      </c>
      <c r="J44">
        <v>9</v>
      </c>
      <c r="K44">
        <v>10</v>
      </c>
      <c r="S44">
        <v>5</v>
      </c>
      <c r="T44" t="s">
        <v>22</v>
      </c>
      <c r="U44">
        <v>7</v>
      </c>
    </row>
    <row r="46" spans="1:26" x14ac:dyDescent="0.25">
      <c r="Z46">
        <f>1-_xlfn.BINOM.DIST(6,10,0.5,1)</f>
        <v>0.171875</v>
      </c>
    </row>
    <row r="47" spans="1:26" x14ac:dyDescent="0.25">
      <c r="C47" s="1" t="s">
        <v>24</v>
      </c>
    </row>
    <row r="48" spans="1:26" x14ac:dyDescent="0.25">
      <c r="A48" s="1" t="s">
        <v>0</v>
      </c>
      <c r="B48" s="1" t="s">
        <v>1</v>
      </c>
      <c r="C48" s="1" t="s">
        <v>2</v>
      </c>
      <c r="D48" s="1" t="s">
        <v>25</v>
      </c>
      <c r="E48" s="1" t="s">
        <v>26</v>
      </c>
      <c r="F48" s="1" t="s">
        <v>7</v>
      </c>
    </row>
    <row r="49" spans="1:13" x14ac:dyDescent="0.25">
      <c r="A49" s="1">
        <v>531</v>
      </c>
      <c r="B49" s="1">
        <v>509</v>
      </c>
      <c r="C49" s="1">
        <f>A49-B49</f>
        <v>22</v>
      </c>
      <c r="D49" s="1">
        <f>C49-50</f>
        <v>-28</v>
      </c>
      <c r="E49" s="1">
        <f>ABS(D49)</f>
        <v>28</v>
      </c>
      <c r="F49" s="1">
        <v>-5</v>
      </c>
    </row>
    <row r="50" spans="1:13" x14ac:dyDescent="0.25">
      <c r="A50" s="1">
        <v>621</v>
      </c>
      <c r="B50" s="1">
        <v>540</v>
      </c>
      <c r="C50" s="1">
        <f t="shared" ref="C50:C58" si="3">A50-B50</f>
        <v>81</v>
      </c>
      <c r="D50" s="1">
        <f t="shared" ref="D50:D58" si="4">C50-50</f>
        <v>31</v>
      </c>
      <c r="E50" s="1">
        <f t="shared" ref="E50:E58" si="5">ABS(D50)</f>
        <v>31</v>
      </c>
      <c r="F50" s="1">
        <v>6</v>
      </c>
    </row>
    <row r="51" spans="1:13" x14ac:dyDescent="0.25">
      <c r="A51" s="1">
        <v>663</v>
      </c>
      <c r="B51" s="1">
        <v>688</v>
      </c>
      <c r="C51" s="1">
        <f t="shared" si="3"/>
        <v>-25</v>
      </c>
      <c r="D51" s="1">
        <f t="shared" si="4"/>
        <v>-75</v>
      </c>
      <c r="E51" s="1">
        <f t="shared" si="5"/>
        <v>75</v>
      </c>
      <c r="F51" s="1">
        <v>-9</v>
      </c>
    </row>
    <row r="52" spans="1:13" x14ac:dyDescent="0.25">
      <c r="A52" s="1">
        <v>579</v>
      </c>
      <c r="B52" s="1">
        <v>502</v>
      </c>
      <c r="C52" s="1">
        <f t="shared" si="3"/>
        <v>77</v>
      </c>
      <c r="D52" s="1">
        <f t="shared" si="4"/>
        <v>27</v>
      </c>
      <c r="E52" s="1">
        <f t="shared" si="5"/>
        <v>27</v>
      </c>
      <c r="F52" s="1">
        <v>3.5</v>
      </c>
      <c r="K52" t="s">
        <v>10</v>
      </c>
      <c r="L52">
        <f>SUMIF(F49:F58,M52)</f>
        <v>-44.5</v>
      </c>
      <c r="M52" t="s">
        <v>8</v>
      </c>
    </row>
    <row r="53" spans="1:13" x14ac:dyDescent="0.25">
      <c r="A53" s="1">
        <v>451</v>
      </c>
      <c r="B53" s="1">
        <v>424</v>
      </c>
      <c r="C53" s="1">
        <f t="shared" si="3"/>
        <v>27</v>
      </c>
      <c r="D53" s="1">
        <f t="shared" si="4"/>
        <v>-23</v>
      </c>
      <c r="E53" s="1">
        <f t="shared" si="5"/>
        <v>23</v>
      </c>
      <c r="F53" s="1">
        <v>-2</v>
      </c>
      <c r="K53" t="s">
        <v>11</v>
      </c>
      <c r="L53">
        <f>SUMIF(F49:F58,M53)</f>
        <v>10.5</v>
      </c>
      <c r="M53" t="s">
        <v>9</v>
      </c>
    </row>
    <row r="54" spans="1:13" x14ac:dyDescent="0.25">
      <c r="A54" s="1">
        <v>660</v>
      </c>
      <c r="B54" s="1">
        <v>683</v>
      </c>
      <c r="C54" s="1">
        <f t="shared" si="3"/>
        <v>-23</v>
      </c>
      <c r="D54" s="1">
        <f t="shared" si="4"/>
        <v>-73</v>
      </c>
      <c r="E54" s="1">
        <f t="shared" si="5"/>
        <v>73</v>
      </c>
      <c r="F54" s="1">
        <v>-8</v>
      </c>
      <c r="K54" t="s">
        <v>12</v>
      </c>
      <c r="L54">
        <v>24</v>
      </c>
    </row>
    <row r="55" spans="1:13" x14ac:dyDescent="0.25">
      <c r="A55" s="1">
        <v>591</v>
      </c>
      <c r="B55" s="1">
        <v>568</v>
      </c>
      <c r="C55" s="1">
        <f t="shared" si="3"/>
        <v>23</v>
      </c>
      <c r="D55" s="1">
        <f t="shared" si="4"/>
        <v>-27</v>
      </c>
      <c r="E55" s="1">
        <f t="shared" si="5"/>
        <v>27</v>
      </c>
      <c r="F55" s="1">
        <v>-3.5</v>
      </c>
    </row>
    <row r="56" spans="1:13" x14ac:dyDescent="0.25">
      <c r="A56" s="1">
        <v>719</v>
      </c>
      <c r="B56" s="1">
        <v>748</v>
      </c>
      <c r="C56" s="1">
        <f t="shared" si="3"/>
        <v>-29</v>
      </c>
      <c r="D56" s="1">
        <f t="shared" si="4"/>
        <v>-79</v>
      </c>
      <c r="E56" s="1">
        <f t="shared" si="5"/>
        <v>79</v>
      </c>
      <c r="F56" s="1">
        <v>-10</v>
      </c>
    </row>
    <row r="57" spans="1:13" x14ac:dyDescent="0.25">
      <c r="A57" s="1">
        <v>543</v>
      </c>
      <c r="B57" s="1">
        <v>530</v>
      </c>
      <c r="C57" s="1">
        <f t="shared" si="3"/>
        <v>13</v>
      </c>
      <c r="D57" s="1">
        <f t="shared" si="4"/>
        <v>-37</v>
      </c>
      <c r="E57" s="1">
        <f t="shared" si="5"/>
        <v>37</v>
      </c>
      <c r="F57" s="1">
        <v>-7</v>
      </c>
    </row>
    <row r="58" spans="1:13" x14ac:dyDescent="0.25">
      <c r="A58" s="1">
        <v>575</v>
      </c>
      <c r="B58" s="1">
        <v>524</v>
      </c>
      <c r="C58" s="1">
        <f t="shared" si="3"/>
        <v>51</v>
      </c>
      <c r="D58" s="1">
        <f t="shared" si="4"/>
        <v>1</v>
      </c>
      <c r="E58" s="1">
        <f t="shared" si="5"/>
        <v>1</v>
      </c>
      <c r="F58" s="1">
        <v>1</v>
      </c>
    </row>
    <row r="61" spans="1:13" x14ac:dyDescent="0.25">
      <c r="A61" t="s">
        <v>4</v>
      </c>
      <c r="B61" s="1">
        <v>1</v>
      </c>
      <c r="C61" s="1">
        <v>23</v>
      </c>
      <c r="D61" s="1">
        <v>27</v>
      </c>
      <c r="E61" s="1">
        <v>27</v>
      </c>
      <c r="F61" s="1">
        <v>28</v>
      </c>
      <c r="G61" s="1">
        <v>31</v>
      </c>
      <c r="H61" s="1">
        <v>37</v>
      </c>
      <c r="I61" s="1">
        <v>73</v>
      </c>
      <c r="J61" s="1">
        <v>75</v>
      </c>
      <c r="K61" s="1">
        <v>79</v>
      </c>
    </row>
    <row r="62" spans="1:13" x14ac:dyDescent="0.25">
      <c r="A62" t="s">
        <v>5</v>
      </c>
      <c r="B62" s="1">
        <v>1</v>
      </c>
      <c r="C62" s="1">
        <v>2</v>
      </c>
      <c r="D62" s="1">
        <v>3</v>
      </c>
      <c r="E62" s="1">
        <v>4</v>
      </c>
      <c r="F62" s="1">
        <v>5</v>
      </c>
      <c r="G62" s="1">
        <v>6</v>
      </c>
      <c r="H62" s="1">
        <v>7</v>
      </c>
      <c r="I62" s="1">
        <v>8</v>
      </c>
      <c r="J62" s="1">
        <v>9</v>
      </c>
      <c r="K62" s="1">
        <v>10</v>
      </c>
    </row>
    <row r="63" spans="1:13" x14ac:dyDescent="0.25">
      <c r="A63" t="s">
        <v>6</v>
      </c>
      <c r="B63" s="1">
        <v>1</v>
      </c>
      <c r="C63" s="1">
        <v>2</v>
      </c>
      <c r="D63" s="1">
        <v>3.5</v>
      </c>
      <c r="E63" s="1">
        <v>3.5</v>
      </c>
      <c r="F63" s="1">
        <v>5</v>
      </c>
      <c r="G63" s="1">
        <v>6</v>
      </c>
      <c r="H63" s="1">
        <v>7</v>
      </c>
      <c r="I63" s="1">
        <v>8</v>
      </c>
      <c r="J63" s="1">
        <v>9</v>
      </c>
      <c r="K63" s="1">
        <v>10</v>
      </c>
    </row>
  </sheetData>
  <sortState xmlns:xlrd2="http://schemas.microsoft.com/office/spreadsheetml/2017/richdata2" ref="D63:D72">
    <sortCondition ref="D63:D72"/>
  </sortState>
  <mergeCells count="2">
    <mergeCell ref="A26:N26"/>
    <mergeCell ref="Q26:A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168A-8991-4E76-9995-F2388F613B1B}">
  <dimension ref="E8:V64"/>
  <sheetViews>
    <sheetView tabSelected="1" topLeftCell="E1" workbookViewId="0">
      <selection activeCell="P15" sqref="P15"/>
    </sheetView>
  </sheetViews>
  <sheetFormatPr baseColWidth="10" defaultRowHeight="15" x14ac:dyDescent="0.25"/>
  <cols>
    <col min="5" max="5" width="13.28515625" bestFit="1" customWidth="1"/>
    <col min="10" max="10" width="34.85546875" style="1" bestFit="1" customWidth="1"/>
    <col min="11" max="11" width="9.5703125" style="1" bestFit="1" customWidth="1"/>
    <col min="12" max="12" width="6.140625" style="1" bestFit="1" customWidth="1"/>
    <col min="18" max="18" width="34.85546875" bestFit="1" customWidth="1"/>
  </cols>
  <sheetData>
    <row r="8" spans="5:19" x14ac:dyDescent="0.25">
      <c r="E8" s="9"/>
      <c r="F8" s="9" t="s">
        <v>32</v>
      </c>
      <c r="G8" s="9" t="s">
        <v>33</v>
      </c>
      <c r="J8" s="1" t="s">
        <v>34</v>
      </c>
      <c r="K8" s="1" t="s">
        <v>35</v>
      </c>
      <c r="L8" s="1" t="s">
        <v>36</v>
      </c>
    </row>
    <row r="9" spans="5:19" ht="15.75" thickBot="1" x14ac:dyDescent="0.3">
      <c r="E9" s="9"/>
      <c r="F9" s="10">
        <v>0.8</v>
      </c>
      <c r="G9" s="10">
        <v>1.1499999999999999</v>
      </c>
      <c r="J9" s="1">
        <v>0.73</v>
      </c>
      <c r="K9" s="1" t="s">
        <v>32</v>
      </c>
      <c r="L9" s="1">
        <v>1</v>
      </c>
      <c r="R9" s="3" t="s">
        <v>37</v>
      </c>
    </row>
    <row r="10" spans="5:19" ht="15.75" thickBot="1" x14ac:dyDescent="0.3">
      <c r="E10" s="9"/>
      <c r="F10" s="10">
        <v>0.83</v>
      </c>
      <c r="G10" s="10">
        <v>0.88</v>
      </c>
      <c r="J10" s="1">
        <v>0.74</v>
      </c>
      <c r="K10" s="1" t="s">
        <v>33</v>
      </c>
      <c r="L10" s="1">
        <v>2</v>
      </c>
      <c r="Q10" s="3" t="s">
        <v>38</v>
      </c>
      <c r="R10" s="5" t="s">
        <v>32</v>
      </c>
      <c r="S10" s="6">
        <f>SUMIF(K9:K23,R10,L9:L23)</f>
        <v>90</v>
      </c>
    </row>
    <row r="11" spans="5:19" ht="15.75" thickBot="1" x14ac:dyDescent="0.3">
      <c r="E11" s="9"/>
      <c r="F11" s="10">
        <v>1.89</v>
      </c>
      <c r="G11" s="10">
        <v>0.9</v>
      </c>
      <c r="J11" s="1">
        <v>0.8</v>
      </c>
      <c r="K11" s="1" t="s">
        <v>32</v>
      </c>
      <c r="L11" s="1">
        <v>3</v>
      </c>
      <c r="Q11" s="4"/>
      <c r="R11" s="7" t="s">
        <v>33</v>
      </c>
      <c r="S11" s="6">
        <f>SUMIF(K10:K23,R11,L10:L23)</f>
        <v>30</v>
      </c>
    </row>
    <row r="12" spans="5:19" ht="15.75" thickBot="1" x14ac:dyDescent="0.3">
      <c r="E12" s="9"/>
      <c r="F12" s="10">
        <v>1.04</v>
      </c>
      <c r="G12" s="10">
        <v>0.74</v>
      </c>
      <c r="J12" s="1">
        <v>0.83</v>
      </c>
      <c r="K12" s="1" t="s">
        <v>32</v>
      </c>
      <c r="L12" s="1">
        <v>4</v>
      </c>
      <c r="Q12" s="4"/>
    </row>
    <row r="13" spans="5:19" x14ac:dyDescent="0.25">
      <c r="E13" s="9"/>
      <c r="F13" s="10">
        <v>1.45</v>
      </c>
      <c r="G13" s="10">
        <v>1.21</v>
      </c>
      <c r="J13" s="1">
        <v>0.88</v>
      </c>
      <c r="K13" s="1" t="s">
        <v>33</v>
      </c>
      <c r="L13" s="1">
        <v>5</v>
      </c>
      <c r="Q13" t="s">
        <v>39</v>
      </c>
      <c r="R13" s="5" t="s">
        <v>32</v>
      </c>
      <c r="S13" s="6">
        <v>10</v>
      </c>
    </row>
    <row r="14" spans="5:19" ht="15.75" thickBot="1" x14ac:dyDescent="0.3">
      <c r="E14" s="9"/>
      <c r="F14" s="10">
        <v>1.38</v>
      </c>
      <c r="G14" s="10"/>
      <c r="J14" s="1">
        <v>0.9</v>
      </c>
      <c r="K14" s="1" t="s">
        <v>33</v>
      </c>
      <c r="L14" s="1">
        <v>6</v>
      </c>
      <c r="R14" s="7" t="s">
        <v>33</v>
      </c>
      <c r="S14" s="8">
        <v>5</v>
      </c>
    </row>
    <row r="15" spans="5:19" x14ac:dyDescent="0.25">
      <c r="E15" s="9"/>
      <c r="F15" s="10">
        <v>1.91</v>
      </c>
      <c r="G15" s="10"/>
      <c r="J15" s="1">
        <v>1.04</v>
      </c>
      <c r="K15" s="1" t="s">
        <v>32</v>
      </c>
      <c r="L15" s="1">
        <v>7</v>
      </c>
      <c r="Q15" s="4"/>
    </row>
    <row r="16" spans="5:19" x14ac:dyDescent="0.25">
      <c r="E16" s="9"/>
      <c r="F16" s="10">
        <v>1.64</v>
      </c>
      <c r="G16" s="10"/>
      <c r="J16" s="1">
        <v>1.1499999999999999</v>
      </c>
      <c r="K16" s="1" t="s">
        <v>33</v>
      </c>
      <c r="L16" s="1">
        <v>8</v>
      </c>
      <c r="Q16" s="4"/>
    </row>
    <row r="17" spans="5:19" x14ac:dyDescent="0.25">
      <c r="E17" s="9"/>
      <c r="F17" s="10">
        <v>0.73</v>
      </c>
      <c r="G17" s="10"/>
      <c r="J17" s="1">
        <v>1.21</v>
      </c>
      <c r="K17" s="1" t="s">
        <v>33</v>
      </c>
      <c r="L17" s="1">
        <v>9</v>
      </c>
      <c r="Q17" s="4" t="s">
        <v>48</v>
      </c>
      <c r="S17">
        <f>S13*S14+S14/2*(S14+1)-S11</f>
        <v>35</v>
      </c>
    </row>
    <row r="18" spans="5:19" x14ac:dyDescent="0.25">
      <c r="E18" s="9"/>
      <c r="F18" s="10">
        <v>1.46</v>
      </c>
      <c r="G18" s="10"/>
      <c r="J18" s="1">
        <v>1.38</v>
      </c>
      <c r="K18" s="1" t="s">
        <v>32</v>
      </c>
      <c r="L18" s="1">
        <v>10</v>
      </c>
      <c r="Q18" s="4" t="s">
        <v>47</v>
      </c>
      <c r="S18">
        <f>S13*S14+S13/2*(S13+1)-S10</f>
        <v>15</v>
      </c>
    </row>
    <row r="19" spans="5:19" x14ac:dyDescent="0.25">
      <c r="E19" s="9" t="s">
        <v>52</v>
      </c>
      <c r="F19" s="10">
        <f>AVERAGE(F9:F18)</f>
        <v>1.3129999999999999</v>
      </c>
      <c r="G19" s="10">
        <f>AVERAGE(G9:G18)</f>
        <v>0.97599999999999998</v>
      </c>
      <c r="J19" s="1">
        <v>1.45</v>
      </c>
      <c r="K19" s="1" t="s">
        <v>32</v>
      </c>
      <c r="L19" s="1">
        <v>11</v>
      </c>
    </row>
    <row r="20" spans="5:19" x14ac:dyDescent="0.25">
      <c r="E20" s="9" t="s">
        <v>23</v>
      </c>
      <c r="F20" s="10">
        <f>MEDIAN(F9:F18)</f>
        <v>1.415</v>
      </c>
      <c r="G20" s="11">
        <f>MEDIAN(G9:G18)</f>
        <v>0.9</v>
      </c>
      <c r="J20" s="1">
        <v>1.46</v>
      </c>
      <c r="K20" s="1" t="s">
        <v>32</v>
      </c>
      <c r="L20" s="1">
        <v>12</v>
      </c>
      <c r="Q20" s="4" t="s">
        <v>40</v>
      </c>
      <c r="S20">
        <f>MIN(S17:S18)</f>
        <v>15</v>
      </c>
    </row>
    <row r="21" spans="5:19" x14ac:dyDescent="0.25">
      <c r="E21" s="9" t="s">
        <v>53</v>
      </c>
      <c r="F21" s="12">
        <f>_xlfn.STDEV.S(F9:F18)</f>
        <v>0.44121171536777853</v>
      </c>
      <c r="G21" s="12">
        <f>_xlfn.STDEV.S(G9:G18)</f>
        <v>0.19730686759461746</v>
      </c>
      <c r="J21" s="1">
        <v>1.64</v>
      </c>
      <c r="K21" s="1" t="s">
        <v>32</v>
      </c>
      <c r="L21" s="1">
        <v>13</v>
      </c>
      <c r="Q21" s="4"/>
    </row>
    <row r="22" spans="5:19" x14ac:dyDescent="0.25">
      <c r="J22" s="1">
        <v>1.89</v>
      </c>
      <c r="K22" s="1" t="s">
        <v>32</v>
      </c>
      <c r="L22" s="1">
        <v>14</v>
      </c>
      <c r="Q22" s="4"/>
    </row>
    <row r="23" spans="5:19" x14ac:dyDescent="0.25">
      <c r="J23" s="1">
        <v>1.91</v>
      </c>
      <c r="K23" s="1" t="s">
        <v>32</v>
      </c>
      <c r="L23" s="1">
        <v>15</v>
      </c>
      <c r="Q23" s="4" t="s">
        <v>41</v>
      </c>
      <c r="S23">
        <f>S13*S14/2</f>
        <v>25</v>
      </c>
    </row>
    <row r="24" spans="5:19" x14ac:dyDescent="0.25">
      <c r="Q24" s="4" t="s">
        <v>42</v>
      </c>
      <c r="S24">
        <f>1/12*S13*S14*(S13+S14+1)</f>
        <v>66.666666666666657</v>
      </c>
    </row>
    <row r="25" spans="5:19" x14ac:dyDescent="0.25">
      <c r="J25"/>
      <c r="K25" t="s">
        <v>32</v>
      </c>
      <c r="L25" t="s">
        <v>33</v>
      </c>
      <c r="Q25" s="4" t="s">
        <v>43</v>
      </c>
      <c r="S25">
        <f>SQRT(S24)</f>
        <v>8.164965809277259</v>
      </c>
    </row>
    <row r="26" spans="5:19" x14ac:dyDescent="0.25">
      <c r="J26" t="s">
        <v>38</v>
      </c>
      <c r="K26">
        <v>90</v>
      </c>
      <c r="L26">
        <v>30</v>
      </c>
    </row>
    <row r="27" spans="5:19" x14ac:dyDescent="0.25">
      <c r="J27" t="s">
        <v>39</v>
      </c>
      <c r="K27">
        <v>10</v>
      </c>
      <c r="L27">
        <v>5</v>
      </c>
      <c r="Q27" s="4" t="s">
        <v>44</v>
      </c>
      <c r="S27">
        <f>(S20-S23)/S25</f>
        <v>-1.2247448713915892</v>
      </c>
    </row>
    <row r="28" spans="5:19" x14ac:dyDescent="0.25">
      <c r="J28" t="s">
        <v>50</v>
      </c>
      <c r="K28">
        <v>15</v>
      </c>
      <c r="L28">
        <v>35</v>
      </c>
    </row>
    <row r="29" spans="5:19" x14ac:dyDescent="0.25">
      <c r="J29" t="s">
        <v>40</v>
      </c>
      <c r="K29"/>
      <c r="L29">
        <v>15</v>
      </c>
      <c r="Q29" s="4" t="s">
        <v>45</v>
      </c>
      <c r="S29">
        <v>1.96</v>
      </c>
    </row>
    <row r="30" spans="5:19" x14ac:dyDescent="0.25">
      <c r="J30" t="s">
        <v>41</v>
      </c>
      <c r="K30"/>
      <c r="L30">
        <v>25</v>
      </c>
      <c r="S30" t="str">
        <f>IF(ABS(S27)&gt;S29,"Rechazar Ho","No rechazar Ho")</f>
        <v>No rechazar Ho</v>
      </c>
    </row>
    <row r="31" spans="5:19" x14ac:dyDescent="0.25">
      <c r="J31" t="s">
        <v>42</v>
      </c>
      <c r="K31"/>
      <c r="L31">
        <v>66.666666666666657</v>
      </c>
      <c r="S31" t="s">
        <v>46</v>
      </c>
    </row>
    <row r="32" spans="5:19" x14ac:dyDescent="0.25">
      <c r="J32" t="s">
        <v>43</v>
      </c>
      <c r="K32"/>
      <c r="L32">
        <v>8.164965809277259</v>
      </c>
    </row>
    <row r="33" spans="10:12" x14ac:dyDescent="0.25">
      <c r="J33" t="s">
        <v>44</v>
      </c>
      <c r="K33"/>
      <c r="L33">
        <v>-1.2247448713915892</v>
      </c>
    </row>
    <row r="34" spans="10:12" x14ac:dyDescent="0.25">
      <c r="J34" t="s">
        <v>45</v>
      </c>
      <c r="K34"/>
      <c r="L34">
        <v>1.96</v>
      </c>
    </row>
    <row r="35" spans="10:12" x14ac:dyDescent="0.25">
      <c r="J35" t="s">
        <v>51</v>
      </c>
      <c r="K35"/>
      <c r="L35" t="s">
        <v>49</v>
      </c>
    </row>
    <row r="50" spans="20:22" x14ac:dyDescent="0.25">
      <c r="U50">
        <f>_xlfn.NORM.S.DIST(L33,1)</f>
        <v>0.11033568095992334</v>
      </c>
      <c r="V50">
        <f>U50*2</f>
        <v>0.22067136191984668</v>
      </c>
    </row>
    <row r="64" spans="20:22" x14ac:dyDescent="0.25">
      <c r="T64" t="s">
        <v>46</v>
      </c>
    </row>
  </sheetData>
  <sortState xmlns:xlrd2="http://schemas.microsoft.com/office/spreadsheetml/2017/richdata2" ref="J9:J23">
    <sortCondition ref="J9:J23"/>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89A5-A168-4A9E-9523-47BC8CDF663E}">
  <dimension ref="A18:AD41"/>
  <sheetViews>
    <sheetView topLeftCell="A10" workbookViewId="0">
      <selection activeCell="L25" sqref="L25"/>
    </sheetView>
  </sheetViews>
  <sheetFormatPr baseColWidth="10" defaultRowHeight="15" x14ac:dyDescent="0.25"/>
  <cols>
    <col min="1" max="1" width="16.140625" bestFit="1" customWidth="1"/>
    <col min="2" max="3" width="2.7109375" style="1" bestFit="1" customWidth="1"/>
    <col min="4" max="4" width="5.7109375" style="1" bestFit="1" customWidth="1"/>
    <col min="5" max="5" width="8.85546875" style="1" bestFit="1" customWidth="1"/>
    <col min="6" max="6" width="13.140625" style="1" bestFit="1" customWidth="1"/>
    <col min="7" max="7" width="9.140625" style="1" bestFit="1" customWidth="1"/>
    <col min="8" max="8" width="2.7109375" style="1" bestFit="1" customWidth="1"/>
    <col min="9" max="9" width="2" style="1" bestFit="1" customWidth="1"/>
    <col min="10" max="11" width="4" style="1" bestFit="1" customWidth="1"/>
    <col min="12" max="12" width="5.42578125" style="1" customWidth="1"/>
    <col min="13" max="13" width="3" style="1" bestFit="1" customWidth="1"/>
    <col min="14" max="17" width="5.42578125" customWidth="1"/>
  </cols>
  <sheetData>
    <row r="18" spans="1:30" x14ac:dyDescent="0.25">
      <c r="A18" s="13" t="s">
        <v>15</v>
      </c>
      <c r="B18" s="13"/>
      <c r="C18" s="13"/>
      <c r="D18" s="13"/>
      <c r="E18" s="13"/>
      <c r="F18" s="13"/>
      <c r="G18" s="13"/>
      <c r="H18" s="13"/>
      <c r="I18" s="13"/>
      <c r="J18" s="13"/>
      <c r="K18" s="13"/>
      <c r="L18" s="13"/>
      <c r="M18" s="13"/>
      <c r="N18" s="13"/>
      <c r="Q18" s="13" t="s">
        <v>16</v>
      </c>
      <c r="R18" s="13"/>
      <c r="S18" s="13"/>
      <c r="T18" s="13"/>
      <c r="U18" s="13"/>
      <c r="V18" s="13"/>
      <c r="W18" s="13"/>
      <c r="X18" s="13"/>
      <c r="Y18" s="13"/>
      <c r="Z18" s="13"/>
      <c r="AA18" s="13"/>
      <c r="AB18" s="13"/>
      <c r="AC18" s="13"/>
      <c r="AD18" s="13"/>
    </row>
    <row r="20" spans="1:30" x14ac:dyDescent="0.25">
      <c r="D20" s="1" t="s">
        <v>27</v>
      </c>
      <c r="E20" s="1" t="s">
        <v>28</v>
      </c>
      <c r="F20" s="1" t="s">
        <v>29</v>
      </c>
      <c r="G20" s="1" t="s">
        <v>5</v>
      </c>
    </row>
    <row r="21" spans="1:30" x14ac:dyDescent="0.25">
      <c r="D21" s="1">
        <v>1</v>
      </c>
      <c r="E21" s="1">
        <v>17</v>
      </c>
      <c r="F21" s="1">
        <f>E21-20</f>
        <v>-3</v>
      </c>
      <c r="G21" s="1">
        <v>-1</v>
      </c>
    </row>
    <row r="22" spans="1:30" x14ac:dyDescent="0.25">
      <c r="D22" s="1">
        <v>2</v>
      </c>
      <c r="E22" s="1">
        <v>15</v>
      </c>
      <c r="F22" s="1">
        <f t="shared" ref="F22:F32" si="0">E22-20</f>
        <v>-5</v>
      </c>
      <c r="G22" s="1">
        <v>-4</v>
      </c>
    </row>
    <row r="23" spans="1:30" x14ac:dyDescent="0.25">
      <c r="D23" s="1">
        <v>3</v>
      </c>
      <c r="E23" s="1">
        <v>20</v>
      </c>
      <c r="F23" s="1">
        <f t="shared" si="0"/>
        <v>0</v>
      </c>
      <c r="K23" t="s">
        <v>10</v>
      </c>
      <c r="L23">
        <f>SUMIF(G21:G32,M23)</f>
        <v>-12.5</v>
      </c>
      <c r="M23" t="s">
        <v>8</v>
      </c>
    </row>
    <row r="24" spans="1:30" x14ac:dyDescent="0.25">
      <c r="D24" s="1">
        <v>4</v>
      </c>
      <c r="E24" s="1">
        <v>20</v>
      </c>
      <c r="F24" s="1">
        <f t="shared" si="0"/>
        <v>0</v>
      </c>
      <c r="K24" t="s">
        <v>11</v>
      </c>
      <c r="L24">
        <f>SUMIF(G21:G32,M24)</f>
        <v>42.5</v>
      </c>
      <c r="M24" t="s">
        <v>9</v>
      </c>
    </row>
    <row r="25" spans="1:30" x14ac:dyDescent="0.25">
      <c r="D25" s="1">
        <v>5</v>
      </c>
      <c r="E25" s="1">
        <v>32</v>
      </c>
      <c r="F25" s="1">
        <f t="shared" si="0"/>
        <v>12</v>
      </c>
      <c r="G25" s="1">
        <v>9</v>
      </c>
      <c r="K25" t="s">
        <v>12</v>
      </c>
      <c r="L25">
        <v>39</v>
      </c>
      <c r="M25"/>
    </row>
    <row r="26" spans="1:30" x14ac:dyDescent="0.25">
      <c r="D26" s="1">
        <v>6</v>
      </c>
      <c r="E26" s="1">
        <v>28</v>
      </c>
      <c r="F26" s="1">
        <f t="shared" si="0"/>
        <v>8</v>
      </c>
      <c r="G26" s="1">
        <v>7.5</v>
      </c>
      <c r="K26" s="1" t="s">
        <v>31</v>
      </c>
      <c r="L26" s="1">
        <v>10</v>
      </c>
    </row>
    <row r="27" spans="1:30" x14ac:dyDescent="0.25">
      <c r="D27" s="1">
        <v>7</v>
      </c>
      <c r="E27" s="1">
        <v>12</v>
      </c>
      <c r="F27" s="1">
        <f t="shared" si="0"/>
        <v>-8</v>
      </c>
      <c r="G27" s="1">
        <v>-7.5</v>
      </c>
    </row>
    <row r="28" spans="1:30" x14ac:dyDescent="0.25">
      <c r="D28" s="1">
        <v>8</v>
      </c>
      <c r="E28" s="1">
        <v>26</v>
      </c>
      <c r="F28" s="1">
        <f t="shared" si="0"/>
        <v>6</v>
      </c>
      <c r="G28" s="1">
        <v>6</v>
      </c>
    </row>
    <row r="29" spans="1:30" x14ac:dyDescent="0.25">
      <c r="D29" s="1">
        <v>9</v>
      </c>
      <c r="E29" s="1">
        <v>25</v>
      </c>
      <c r="F29" s="1">
        <f t="shared" si="0"/>
        <v>5</v>
      </c>
      <c r="G29" s="1">
        <v>4</v>
      </c>
    </row>
    <row r="30" spans="1:30" x14ac:dyDescent="0.25">
      <c r="D30" s="1">
        <v>10</v>
      </c>
      <c r="E30" s="1">
        <v>25</v>
      </c>
      <c r="F30" s="1">
        <f t="shared" si="0"/>
        <v>5</v>
      </c>
      <c r="G30" s="1">
        <v>4</v>
      </c>
    </row>
    <row r="31" spans="1:30" x14ac:dyDescent="0.25">
      <c r="D31" s="1">
        <v>11</v>
      </c>
      <c r="E31" s="1">
        <v>35</v>
      </c>
      <c r="F31" s="1">
        <f t="shared" si="0"/>
        <v>15</v>
      </c>
      <c r="G31" s="1">
        <v>10</v>
      </c>
    </row>
    <row r="32" spans="1:30" x14ac:dyDescent="0.25">
      <c r="D32" s="1">
        <v>12</v>
      </c>
      <c r="E32" s="1">
        <v>24</v>
      </c>
      <c r="F32" s="1">
        <f t="shared" si="0"/>
        <v>4</v>
      </c>
      <c r="G32" s="1">
        <v>2</v>
      </c>
    </row>
    <row r="34" spans="1:13" x14ac:dyDescent="0.25">
      <c r="E34" s="1" t="s">
        <v>23</v>
      </c>
      <c r="F34" s="1">
        <f>MEDIAN(F21:F32)</f>
        <v>4.5</v>
      </c>
    </row>
    <row r="38" spans="1:13" x14ac:dyDescent="0.25">
      <c r="A38" t="s">
        <v>24</v>
      </c>
      <c r="B38" s="1">
        <v>-3</v>
      </c>
      <c r="C38" s="1">
        <v>-5</v>
      </c>
      <c r="D38" s="1">
        <v>0</v>
      </c>
      <c r="E38" s="1">
        <v>0</v>
      </c>
      <c r="F38" s="1">
        <v>12</v>
      </c>
      <c r="G38" s="1">
        <v>8</v>
      </c>
      <c r="H38" s="1">
        <v>-8</v>
      </c>
      <c r="I38" s="1">
        <v>6</v>
      </c>
      <c r="J38" s="1">
        <v>5</v>
      </c>
      <c r="K38" s="1">
        <v>5</v>
      </c>
      <c r="L38" s="1">
        <v>15</v>
      </c>
      <c r="M38" s="1">
        <v>4</v>
      </c>
    </row>
    <row r="39" spans="1:13" x14ac:dyDescent="0.25">
      <c r="A39" t="s">
        <v>30</v>
      </c>
      <c r="B39" s="1">
        <f>ABS(B38)</f>
        <v>3</v>
      </c>
      <c r="C39" s="1">
        <f t="shared" ref="C39:M39" si="1">ABS(C38)</f>
        <v>5</v>
      </c>
      <c r="D39" s="1">
        <f t="shared" si="1"/>
        <v>0</v>
      </c>
      <c r="E39" s="1">
        <f t="shared" si="1"/>
        <v>0</v>
      </c>
      <c r="F39" s="1">
        <f t="shared" si="1"/>
        <v>12</v>
      </c>
      <c r="G39" s="1">
        <f t="shared" si="1"/>
        <v>8</v>
      </c>
      <c r="H39" s="1">
        <f t="shared" si="1"/>
        <v>8</v>
      </c>
      <c r="I39" s="1">
        <f t="shared" si="1"/>
        <v>6</v>
      </c>
      <c r="J39" s="1">
        <f t="shared" si="1"/>
        <v>5</v>
      </c>
      <c r="K39" s="1">
        <f t="shared" si="1"/>
        <v>5</v>
      </c>
      <c r="L39" s="1">
        <f t="shared" si="1"/>
        <v>15</v>
      </c>
      <c r="M39" s="1">
        <f t="shared" si="1"/>
        <v>4</v>
      </c>
    </row>
    <row r="40" spans="1:13" x14ac:dyDescent="0.25">
      <c r="A40" t="s">
        <v>4</v>
      </c>
      <c r="B40" s="1">
        <v>0</v>
      </c>
      <c r="C40" s="1">
        <v>0</v>
      </c>
      <c r="D40" s="1">
        <v>3</v>
      </c>
      <c r="E40" s="1">
        <v>4</v>
      </c>
      <c r="F40" s="1">
        <v>5</v>
      </c>
      <c r="G40" s="1">
        <v>5</v>
      </c>
      <c r="H40" s="1">
        <v>5</v>
      </c>
      <c r="I40" s="1">
        <v>6</v>
      </c>
      <c r="J40" s="1">
        <v>8</v>
      </c>
      <c r="K40" s="1">
        <v>8</v>
      </c>
      <c r="L40" s="1">
        <v>12</v>
      </c>
      <c r="M40" s="1">
        <v>15</v>
      </c>
    </row>
    <row r="41" spans="1:13" x14ac:dyDescent="0.25">
      <c r="A41" t="s">
        <v>5</v>
      </c>
      <c r="D41" s="1">
        <v>1</v>
      </c>
      <c r="E41" s="1">
        <v>2</v>
      </c>
      <c r="F41" s="1">
        <v>4</v>
      </c>
      <c r="G41" s="1">
        <v>4</v>
      </c>
      <c r="H41" s="1">
        <v>4</v>
      </c>
      <c r="I41" s="1">
        <v>6</v>
      </c>
      <c r="J41" s="1">
        <v>7.5</v>
      </c>
      <c r="K41" s="1">
        <v>7.5</v>
      </c>
      <c r="L41" s="1">
        <v>9</v>
      </c>
      <c r="M41" s="1">
        <v>10</v>
      </c>
    </row>
  </sheetData>
  <sortState xmlns:xlrd2="http://schemas.microsoft.com/office/spreadsheetml/2017/richdata2" ref="S33:S44">
    <sortCondition ref="S33:S44"/>
  </sortState>
  <mergeCells count="2">
    <mergeCell ref="A18:N18"/>
    <mergeCell ref="Q18:AD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eje1</vt:lpstr>
      <vt:lpstr>Hoja1</vt:lpstr>
      <vt:lpstr>eje 2</vt:lpstr>
    </vt:vector>
  </TitlesOfParts>
  <Company>ITM Institucion Universitaria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Johana Tróchez González</dc:creator>
  <cp:lastModifiedBy>Johana Tróchez González</cp:lastModifiedBy>
  <dcterms:created xsi:type="dcterms:W3CDTF">2026-04-23T20:10:07Z</dcterms:created>
  <dcterms:modified xsi:type="dcterms:W3CDTF">2026-05-07T19:00:46Z</dcterms:modified>
</cp:coreProperties>
</file>